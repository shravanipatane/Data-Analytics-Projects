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<sst xmlns="http://schemas.openxmlformats.org/spreadsheetml/2006/main" count="211" uniqueCount="150">
  <si>
    <t>Booking Date</t>
  </si>
  <si>
    <t>Customer Name</t>
  </si>
  <si>
    <t>Mobile No.</t>
  </si>
  <si>
    <t>Company</t>
  </si>
  <si>
    <t>Model</t>
  </si>
  <si>
    <t>Colour</t>
  </si>
  <si>
    <t>Dealer</t>
  </si>
  <si>
    <t>Vehical Chassis No.</t>
  </si>
  <si>
    <t>Vehical Engine No.</t>
  </si>
  <si>
    <t>Vehical Base</t>
  </si>
  <si>
    <t>Dealer Price</t>
  </si>
  <si>
    <t>E Payment Tax</t>
  </si>
  <si>
    <t>Insurance</t>
  </si>
  <si>
    <t>Hypothication</t>
  </si>
  <si>
    <t>Total Vehical Cost</t>
  </si>
  <si>
    <t>Ridding Cost</t>
  </si>
  <si>
    <t>Accessories</t>
  </si>
  <si>
    <t>Total Cost to Ved Motors</t>
  </si>
  <si>
    <t>Selling Price</t>
  </si>
  <si>
    <t>Net Earning</t>
  </si>
  <si>
    <t>Payment Type</t>
  </si>
  <si>
    <t>CASH Payment</t>
  </si>
  <si>
    <t>Loan Amount</t>
  </si>
  <si>
    <t>EMI Month</t>
  </si>
  <si>
    <t>EMI Amount</t>
  </si>
  <si>
    <t>Receipt No.1</t>
  </si>
  <si>
    <t>Booking Amount</t>
  </si>
  <si>
    <t>Receipt No.2</t>
  </si>
  <si>
    <t>Amount</t>
  </si>
  <si>
    <t>Receipt No.3</t>
  </si>
  <si>
    <t>Receipt No.4</t>
  </si>
  <si>
    <t>Total Paid Amount</t>
  </si>
  <si>
    <t>DP Balance</t>
  </si>
  <si>
    <t>Disbursed Date</t>
  </si>
  <si>
    <t>Disbursed Amount</t>
  </si>
  <si>
    <t>Net Earning loan</t>
  </si>
  <si>
    <t>Total Earning</t>
  </si>
  <si>
    <t>Balance Remark</t>
  </si>
  <si>
    <t>Vehical RTO No.</t>
  </si>
  <si>
    <t>Date of Birth</t>
  </si>
  <si>
    <t>Address</t>
  </si>
  <si>
    <t xml:space="preserve">SAPANA SALUNKHE </t>
  </si>
  <si>
    <t>T-V-S</t>
  </si>
  <si>
    <t>JUPITER ZX</t>
  </si>
  <si>
    <t>GREENISH BLUE</t>
  </si>
  <si>
    <t>AUTORACE</t>
  </si>
  <si>
    <t>MD626CG59M1L09923</t>
  </si>
  <si>
    <t>DG5LM1802951</t>
  </si>
  <si>
    <t>ON ROAD</t>
  </si>
  <si>
    <t>LOAN</t>
  </si>
  <si>
    <t>MH04KZ6980</t>
  </si>
  <si>
    <t xml:space="preserve">HEMANGI SHELAR  </t>
  </si>
  <si>
    <t>BGUSS E</t>
  </si>
  <si>
    <t>BGUS A2</t>
  </si>
  <si>
    <t>GREY</t>
  </si>
  <si>
    <t>BGUSS</t>
  </si>
  <si>
    <t>A21BG000079</t>
  </si>
  <si>
    <t>BBD00103</t>
  </si>
  <si>
    <t>CASH</t>
  </si>
  <si>
    <t xml:space="preserve">ANIKET SURYWANSI  </t>
  </si>
  <si>
    <t>Honda</t>
  </si>
  <si>
    <t>CB SHINE</t>
  </si>
  <si>
    <t>Mat Grey</t>
  </si>
  <si>
    <t>VIHAN</t>
  </si>
  <si>
    <t>ME4JC859JMD022325</t>
  </si>
  <si>
    <t>JC85ED1063498</t>
  </si>
  <si>
    <t>MH04KY7601</t>
  </si>
  <si>
    <t xml:space="preserve">TEJAS BHURE </t>
  </si>
  <si>
    <t>BLACK RED</t>
  </si>
  <si>
    <t>ME4JC85AKMG033594</t>
  </si>
  <si>
    <t>JC85EG1037927</t>
  </si>
  <si>
    <t>MH04KY5509</t>
  </si>
  <si>
    <t xml:space="preserve">SAGAR PALSE  </t>
  </si>
  <si>
    <t>BLUE</t>
  </si>
  <si>
    <t>A21BG000081</t>
  </si>
  <si>
    <t>BBD000295</t>
  </si>
  <si>
    <t>Loan</t>
  </si>
  <si>
    <t xml:space="preserve">SAMEER  HAREKAR  </t>
  </si>
  <si>
    <t>ACTIVA6G</t>
  </si>
  <si>
    <t>BIUE</t>
  </si>
  <si>
    <t>ME4JF918KMW036572</t>
  </si>
  <si>
    <t>JF91E-W-5036537</t>
  </si>
  <si>
    <t>ONROAD</t>
  </si>
  <si>
    <t>MH04KY6337</t>
  </si>
  <si>
    <t xml:space="preserve">JITESH  PATIL  </t>
  </si>
  <si>
    <t>UNICON</t>
  </si>
  <si>
    <t xml:space="preserve">BLACK </t>
  </si>
  <si>
    <t>ME4KC401JMA308459</t>
  </si>
  <si>
    <t>KC40E-A-0308440</t>
  </si>
  <si>
    <t>MH04KY6339</t>
  </si>
  <si>
    <t xml:space="preserve">JAYWANT MORE  </t>
  </si>
  <si>
    <t>ME4JF914HMG576822</t>
  </si>
  <si>
    <t>JF91E-G-1575858</t>
  </si>
  <si>
    <t>MH03DW0649</t>
  </si>
  <si>
    <t xml:space="preserve">SANTOSH GOLLAR  </t>
  </si>
  <si>
    <t>BGUS B8</t>
  </si>
  <si>
    <t>MZPEVB81PBK000197</t>
  </si>
  <si>
    <t xml:space="preserve">MAHENDRA KENI  no </t>
  </si>
  <si>
    <t>SARVODAYA</t>
  </si>
  <si>
    <t>BAJAJCT 110</t>
  </si>
  <si>
    <t>RED BLACK</t>
  </si>
  <si>
    <t>MBLHAW125MHJ74995</t>
  </si>
  <si>
    <t>HA11EYMHJ64800</t>
  </si>
  <si>
    <t xml:space="preserve">ATUL VISHWAKARMA </t>
  </si>
  <si>
    <t>UNICON  160</t>
  </si>
  <si>
    <t>BIACK</t>
  </si>
  <si>
    <t>GATI</t>
  </si>
  <si>
    <t>ME4KC401HMA306361</t>
  </si>
  <si>
    <t>KC40E-A-0306223</t>
  </si>
  <si>
    <t xml:space="preserve">RAHUL SUMRA </t>
  </si>
  <si>
    <t>RIA SUZUKI</t>
  </si>
  <si>
    <t>ACSESS125SPL</t>
  </si>
  <si>
    <t>RIASUZUKI</t>
  </si>
  <si>
    <t>MB8DP12DKM8908946</t>
  </si>
  <si>
    <t>AF21-6827441</t>
  </si>
  <si>
    <t>MH04KY7025</t>
  </si>
  <si>
    <t>PRASHANT AMBRE</t>
  </si>
  <si>
    <t>BGUSS B8</t>
  </si>
  <si>
    <t xml:space="preserve">LUXMAN HINKULE  </t>
  </si>
  <si>
    <t>HERO</t>
  </si>
  <si>
    <t>SPLENDERPLUS</t>
  </si>
  <si>
    <t>BLACK GREY</t>
  </si>
  <si>
    <t>AUTOMILES</t>
  </si>
  <si>
    <t>MBLHAW127M5J26576</t>
  </si>
  <si>
    <t>HA11EYM5J63679</t>
  </si>
  <si>
    <t>BASIC</t>
  </si>
  <si>
    <t>MH04KY8790</t>
  </si>
  <si>
    <t xml:space="preserve">ABHISHEK UTEKAR  </t>
  </si>
  <si>
    <t>ACTIVA6G DULX</t>
  </si>
  <si>
    <t>WHITE</t>
  </si>
  <si>
    <t>ME4JF914HMG584201</t>
  </si>
  <si>
    <t>JF91E-G-1583251</t>
  </si>
  <si>
    <t xml:space="preserve">suresh bagwan  </t>
  </si>
  <si>
    <t>HF DELUX</t>
  </si>
  <si>
    <t>MBLHAW109M5K00532</t>
  </si>
  <si>
    <t>HA11EXM5K50479</t>
  </si>
  <si>
    <t>MHO4KY6525</t>
  </si>
  <si>
    <t>ROSHAN SHELAR</t>
  </si>
  <si>
    <t>APPACHI</t>
  </si>
  <si>
    <t>BLACK WHITE</t>
  </si>
  <si>
    <t>MAYUR AUTO</t>
  </si>
  <si>
    <t>MD637DE59M2H04790</t>
  </si>
  <si>
    <t>GE5HM2504574</t>
  </si>
  <si>
    <t xml:space="preserve">UTTAM CHOUDARI  </t>
  </si>
  <si>
    <t>MAYURAUTO</t>
  </si>
  <si>
    <t>SP SHINE</t>
  </si>
  <si>
    <t>BLACK GREEN</t>
  </si>
  <si>
    <t>HONDA</t>
  </si>
  <si>
    <t>ME4JC835JMG031724</t>
  </si>
  <si>
    <t>JC83E-G-2067071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</si>
</sst>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yy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2.0"/>
      <color rgb="FFFF0000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horizontal="right" vertical="bottom"/>
    </xf>
    <xf borderId="1" fillId="2" fontId="4" numFmtId="164" xfId="0" applyAlignment="1" applyBorder="1" applyFill="1" applyFont="1" applyNumberFormat="1">
      <alignment horizontal="right" vertical="bottom"/>
    </xf>
    <xf borderId="1" fillId="2" fontId="4" numFmtId="0" xfId="0" applyAlignment="1" applyBorder="1" applyFill="1" applyFont="1">
      <alignment vertical="bottom"/>
    </xf>
    <xf borderId="1" fillId="2" fontId="4" numFmtId="3" xfId="0" applyAlignment="1" applyBorder="1" applyFill="1" applyFont="1" applyNumberFormat="1">
      <alignment horizontal="right" vertical="bottom"/>
    </xf>
    <xf borderId="1" fillId="2" fontId="4" numFmtId="14" xfId="0" applyAlignment="1" applyBorder="1" applyFill="1" applyFont="1" applyNumberFormat="1">
      <alignment horizontal="right" vertical="bottom"/>
    </xf>
    <xf borderId="1" fillId="2" fontId="1" numFmtId="3" xfId="0" applyAlignment="1" applyBorder="1" applyFill="1" applyFont="1" applyNumberFormat="1">
      <alignment vertical="bottom"/>
    </xf>
    <xf borderId="1" fillId="2" fontId="1" numFmtId="0" xfId="0" applyAlignment="1" applyBorder="1" applyFill="1" applyFont="1">
      <alignment vertical="bottom"/>
    </xf>
    <xf borderId="1" fillId="2" fontId="1" numFmtId="14" xfId="0" applyAlignment="1" applyBorder="1" applyFill="1" applyFont="1" applyNumberFormat="1">
      <alignment vertical="bottom"/>
    </xf>
    <xf borderId="0" fillId="0" fontId="4" numFmtId="0" xfId="0" applyAlignment="1" applyFont="1">
      <alignment vertical="bottom"/>
    </xf>
    <xf borderId="1" fillId="2" fontId="2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28</v>
      </c>
      <c r="AG1" s="3" t="s">
        <v>30</v>
      </c>
      <c r="AH1" s="3" t="s">
        <v>28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4" t="s">
        <v>37</v>
      </c>
      <c r="AP1" s="3" t="s">
        <v>38</v>
      </c>
      <c r="AQ1" s="3" t="s">
        <v>39</v>
      </c>
      <c r="AR1" s="3" t="s">
        <v>40</v>
      </c>
    </row>
    <row r="2">
      <c r="A2" s="5">
        <v>1.0</v>
      </c>
      <c r="B2" s="6">
        <v>44484.0</v>
      </c>
      <c r="C2" s="7" t="s">
        <v>41</v>
      </c>
      <c r="D2" s="5">
        <v>9.082384445E9</v>
      </c>
      <c r="E2" s="7" t="s">
        <v>42</v>
      </c>
      <c r="F2" s="7" t="s">
        <v>43</v>
      </c>
      <c r="G2" s="7" t="s">
        <v>44</v>
      </c>
      <c r="H2" s="7" t="s">
        <v>45</v>
      </c>
      <c r="I2" s="7" t="s">
        <v>46</v>
      </c>
      <c r="J2" s="7" t="s">
        <v>47</v>
      </c>
      <c r="K2" s="7" t="s">
        <v>48</v>
      </c>
      <c r="L2" s="5">
        <v>85082.0</v>
      </c>
      <c r="M2" s="5">
        <v>0.0</v>
      </c>
      <c r="N2" s="5">
        <v>0.0</v>
      </c>
      <c r="O2" s="5">
        <v>0.0</v>
      </c>
      <c r="P2" s="5">
        <v>0.0</v>
      </c>
      <c r="Q2" s="5">
        <v>500.0</v>
      </c>
      <c r="R2" s="5">
        <v>1500.0</v>
      </c>
      <c r="S2" s="5">
        <f t="shared" ref="S2:S19" si="1">SUM(P2:R2)</f>
        <v>2000</v>
      </c>
      <c r="T2" s="5">
        <v>88000.0</v>
      </c>
      <c r="U2" s="5">
        <f t="shared" ref="U2:U19" si="2">+T2-S2</f>
        <v>86000</v>
      </c>
      <c r="V2" s="7" t="s">
        <v>49</v>
      </c>
      <c r="W2" s="5">
        <v>21000.0</v>
      </c>
      <c r="X2" s="8">
        <v>73500.0</v>
      </c>
      <c r="Y2" s="5">
        <v>36.0</v>
      </c>
      <c r="Z2" s="5">
        <v>2777.0</v>
      </c>
      <c r="AA2" s="5">
        <v>225.0</v>
      </c>
      <c r="AB2" s="5">
        <v>21000.0</v>
      </c>
      <c r="AC2" s="5">
        <v>0.0</v>
      </c>
      <c r="AD2" s="5">
        <v>0.0</v>
      </c>
      <c r="AE2" s="5">
        <v>0.0</v>
      </c>
      <c r="AF2" s="5">
        <v>0.0</v>
      </c>
      <c r="AG2" s="5">
        <v>0.0</v>
      </c>
      <c r="AH2" s="5">
        <v>0.0</v>
      </c>
      <c r="AI2" s="5">
        <f t="shared" ref="AI2:AI19" si="3">+AB2+AD2+AF2+AH2</f>
        <v>21000</v>
      </c>
      <c r="AJ2" s="5">
        <f t="shared" ref="AJ2:AJ19" si="4">+W2-AI2</f>
        <v>0</v>
      </c>
      <c r="AK2" s="9">
        <v>44484.0</v>
      </c>
      <c r="AL2" s="8">
        <v>72290.0</v>
      </c>
      <c r="AM2" s="8">
        <f t="shared" ref="AM2:AM19" si="5">+(AL2+AI2)-T2</f>
        <v>5290</v>
      </c>
      <c r="AN2" s="8">
        <f t="shared" ref="AN2:AN19" si="6">+AM2+U2</f>
        <v>91290</v>
      </c>
      <c r="AO2" s="10"/>
      <c r="AP2" s="7" t="s">
        <v>50</v>
      </c>
      <c r="AQ2" s="9">
        <v>29445.0</v>
      </c>
      <c r="AR2" s="11"/>
    </row>
    <row r="3">
      <c r="A3" s="5">
        <v>2.0</v>
      </c>
      <c r="B3" s="6">
        <v>44484.0</v>
      </c>
      <c r="C3" s="7" t="s">
        <v>51</v>
      </c>
      <c r="D3" s="5">
        <v>9.869658575E9</v>
      </c>
      <c r="E3" s="7" t="s">
        <v>52</v>
      </c>
      <c r="F3" s="7" t="s">
        <v>53</v>
      </c>
      <c r="G3" s="7" t="s">
        <v>54</v>
      </c>
      <c r="H3" s="7" t="s">
        <v>55</v>
      </c>
      <c r="I3" s="7" t="s">
        <v>56</v>
      </c>
      <c r="J3" s="7" t="s">
        <v>57</v>
      </c>
      <c r="K3" s="7" t="s">
        <v>48</v>
      </c>
      <c r="L3" s="5">
        <v>66000.0</v>
      </c>
      <c r="M3" s="5">
        <v>0.0</v>
      </c>
      <c r="N3" s="5">
        <v>0.0</v>
      </c>
      <c r="O3" s="5">
        <v>0.0</v>
      </c>
      <c r="P3" s="5">
        <f t="shared" ref="P3:P19" si="7">SUM(L3:O3)</f>
        <v>66000</v>
      </c>
      <c r="Q3" s="5">
        <v>300.0</v>
      </c>
      <c r="R3" s="5">
        <v>0.0</v>
      </c>
      <c r="S3" s="5">
        <f t="shared" si="1"/>
        <v>66300</v>
      </c>
      <c r="T3" s="8">
        <v>68500.0</v>
      </c>
      <c r="U3" s="8">
        <f t="shared" si="2"/>
        <v>2200</v>
      </c>
      <c r="V3" s="7" t="s">
        <v>58</v>
      </c>
      <c r="W3" s="5">
        <v>68500.0</v>
      </c>
      <c r="X3" s="5">
        <v>0.0</v>
      </c>
      <c r="Y3" s="5">
        <v>0.0</v>
      </c>
      <c r="Z3" s="5">
        <v>0.0</v>
      </c>
      <c r="AA3" s="5">
        <v>201.0</v>
      </c>
      <c r="AB3" s="5">
        <v>68500.0</v>
      </c>
      <c r="AC3" s="5">
        <v>0.0</v>
      </c>
      <c r="AD3" s="5">
        <v>0.0</v>
      </c>
      <c r="AE3" s="5">
        <v>0.0</v>
      </c>
      <c r="AF3" s="5">
        <v>0.0</v>
      </c>
      <c r="AG3" s="5">
        <v>0.0</v>
      </c>
      <c r="AH3" s="5">
        <v>0.0</v>
      </c>
      <c r="AI3" s="5">
        <f t="shared" si="3"/>
        <v>68500</v>
      </c>
      <c r="AJ3" s="5">
        <f t="shared" si="4"/>
        <v>0</v>
      </c>
      <c r="AK3" s="12"/>
      <c r="AL3" s="11"/>
      <c r="AM3" s="8">
        <f t="shared" si="5"/>
        <v>0</v>
      </c>
      <c r="AN3" s="8">
        <f t="shared" si="6"/>
        <v>2200</v>
      </c>
      <c r="AO3" s="10"/>
      <c r="AP3" s="11"/>
      <c r="AQ3" s="9">
        <v>31001.0</v>
      </c>
      <c r="AR3" s="11"/>
    </row>
    <row r="4">
      <c r="A4" s="5">
        <v>3.0</v>
      </c>
      <c r="B4" s="6">
        <v>44546.0</v>
      </c>
      <c r="C4" s="7" t="s">
        <v>59</v>
      </c>
      <c r="D4" s="5">
        <v>9.819169457E9</v>
      </c>
      <c r="E4" s="7" t="s">
        <v>60</v>
      </c>
      <c r="F4" s="7" t="s">
        <v>61</v>
      </c>
      <c r="G4" s="7" t="s">
        <v>62</v>
      </c>
      <c r="H4" s="7" t="s">
        <v>63</v>
      </c>
      <c r="I4" s="7" t="s">
        <v>64</v>
      </c>
      <c r="J4" s="7" t="s">
        <v>65</v>
      </c>
      <c r="K4" s="7" t="s">
        <v>48</v>
      </c>
      <c r="L4" s="8">
        <v>90000.0</v>
      </c>
      <c r="M4" s="5">
        <v>0.0</v>
      </c>
      <c r="N4" s="5">
        <v>0.0</v>
      </c>
      <c r="O4" s="5">
        <v>0.0</v>
      </c>
      <c r="P4" s="8">
        <f t="shared" si="7"/>
        <v>90000</v>
      </c>
      <c r="Q4" s="5">
        <v>500.0</v>
      </c>
      <c r="R4" s="5">
        <v>1500.0</v>
      </c>
      <c r="S4" s="8">
        <f t="shared" si="1"/>
        <v>92000</v>
      </c>
      <c r="T4" s="8">
        <v>95500.0</v>
      </c>
      <c r="U4" s="8">
        <f t="shared" si="2"/>
        <v>3500</v>
      </c>
      <c r="V4" s="7" t="s">
        <v>58</v>
      </c>
      <c r="W4" s="5">
        <v>95500.0</v>
      </c>
      <c r="X4" s="5">
        <v>0.0</v>
      </c>
      <c r="Y4" s="5">
        <v>0.0</v>
      </c>
      <c r="Z4" s="5">
        <v>0.0</v>
      </c>
      <c r="AA4" s="5">
        <v>202.0</v>
      </c>
      <c r="AB4" s="5">
        <v>500.0</v>
      </c>
      <c r="AC4" s="5">
        <v>230.0</v>
      </c>
      <c r="AD4" s="8">
        <v>30000.0</v>
      </c>
      <c r="AE4" s="5">
        <v>248.0</v>
      </c>
      <c r="AF4" s="8">
        <v>65000.0</v>
      </c>
      <c r="AG4" s="5">
        <v>0.0</v>
      </c>
      <c r="AH4" s="5">
        <v>0.0</v>
      </c>
      <c r="AI4" s="8">
        <f t="shared" si="3"/>
        <v>95500</v>
      </c>
      <c r="AJ4" s="8">
        <f t="shared" si="4"/>
        <v>0</v>
      </c>
      <c r="AK4" s="12"/>
      <c r="AL4" s="11"/>
      <c r="AM4" s="8">
        <f t="shared" si="5"/>
        <v>0</v>
      </c>
      <c r="AN4" s="8">
        <f t="shared" si="6"/>
        <v>3500</v>
      </c>
      <c r="AO4" s="10"/>
      <c r="AP4" s="7" t="s">
        <v>66</v>
      </c>
      <c r="AQ4" s="9">
        <v>36421.0</v>
      </c>
      <c r="AR4" s="11"/>
    </row>
    <row r="5">
      <c r="A5" s="5">
        <v>4.0</v>
      </c>
      <c r="B5" s="6">
        <v>44486.0</v>
      </c>
      <c r="C5" s="7" t="s">
        <v>67</v>
      </c>
      <c r="D5" s="5">
        <v>9.702403349E9</v>
      </c>
      <c r="E5" s="7" t="s">
        <v>60</v>
      </c>
      <c r="F5" s="7" t="s">
        <v>61</v>
      </c>
      <c r="G5" s="7" t="s">
        <v>68</v>
      </c>
      <c r="H5" s="7" t="s">
        <v>63</v>
      </c>
      <c r="I5" s="7" t="s">
        <v>69</v>
      </c>
      <c r="J5" s="7" t="s">
        <v>70</v>
      </c>
      <c r="K5" s="7" t="s">
        <v>48</v>
      </c>
      <c r="L5" s="5">
        <v>85000.0</v>
      </c>
      <c r="M5" s="5">
        <v>0.0</v>
      </c>
      <c r="N5" s="5">
        <v>0.0</v>
      </c>
      <c r="O5" s="5">
        <v>0.0</v>
      </c>
      <c r="P5" s="5">
        <f t="shared" si="7"/>
        <v>85000</v>
      </c>
      <c r="Q5" s="5">
        <v>500.0</v>
      </c>
      <c r="R5" s="5">
        <v>1500.0</v>
      </c>
      <c r="S5" s="5">
        <f t="shared" si="1"/>
        <v>87000</v>
      </c>
      <c r="T5" s="5">
        <v>89000.0</v>
      </c>
      <c r="U5" s="5">
        <f t="shared" si="2"/>
        <v>2000</v>
      </c>
      <c r="V5" s="7" t="s">
        <v>58</v>
      </c>
      <c r="W5" s="5">
        <v>89000.0</v>
      </c>
      <c r="X5" s="5">
        <v>0.0</v>
      </c>
      <c r="Y5" s="5">
        <v>0.0</v>
      </c>
      <c r="Z5" s="5">
        <v>0.0</v>
      </c>
      <c r="AA5" s="5">
        <v>203.0</v>
      </c>
      <c r="AB5" s="8">
        <v>89000.0</v>
      </c>
      <c r="AC5" s="5">
        <v>0.0</v>
      </c>
      <c r="AD5" s="5">
        <v>0.0</v>
      </c>
      <c r="AE5" s="5">
        <v>0.0</v>
      </c>
      <c r="AF5" s="5">
        <v>0.0</v>
      </c>
      <c r="AG5" s="5">
        <v>0.0</v>
      </c>
      <c r="AH5" s="5">
        <v>0.0</v>
      </c>
      <c r="AI5" s="8">
        <f t="shared" si="3"/>
        <v>89000</v>
      </c>
      <c r="AJ5" s="8">
        <f t="shared" si="4"/>
        <v>0</v>
      </c>
      <c r="AK5" s="12"/>
      <c r="AL5" s="11"/>
      <c r="AM5" s="8">
        <f t="shared" si="5"/>
        <v>0</v>
      </c>
      <c r="AN5" s="8">
        <f t="shared" si="6"/>
        <v>2000</v>
      </c>
      <c r="AO5" s="10"/>
      <c r="AP5" s="7" t="s">
        <v>71</v>
      </c>
      <c r="AQ5" s="9">
        <v>30306.0</v>
      </c>
      <c r="AR5" s="11"/>
    </row>
    <row r="6">
      <c r="A6" s="5">
        <v>5.0</v>
      </c>
      <c r="B6" s="6">
        <v>44486.0</v>
      </c>
      <c r="C6" s="7" t="s">
        <v>72</v>
      </c>
      <c r="D6" s="5">
        <v>8.879417136E9</v>
      </c>
      <c r="E6" s="7" t="s">
        <v>52</v>
      </c>
      <c r="F6" s="7" t="s">
        <v>53</v>
      </c>
      <c r="G6" s="7" t="s">
        <v>73</v>
      </c>
      <c r="H6" s="7" t="s">
        <v>55</v>
      </c>
      <c r="I6" s="7" t="s">
        <v>74</v>
      </c>
      <c r="J6" s="7" t="s">
        <v>75</v>
      </c>
      <c r="K6" s="7" t="s">
        <v>48</v>
      </c>
      <c r="L6" s="5">
        <v>65000.0</v>
      </c>
      <c r="M6" s="5">
        <v>0.0</v>
      </c>
      <c r="N6" s="5">
        <v>0.0</v>
      </c>
      <c r="O6" s="5">
        <v>0.0</v>
      </c>
      <c r="P6" s="5">
        <f t="shared" si="7"/>
        <v>65000</v>
      </c>
      <c r="Q6" s="5">
        <v>300.0</v>
      </c>
      <c r="R6" s="5">
        <v>0.0</v>
      </c>
      <c r="S6" s="5">
        <f t="shared" si="1"/>
        <v>65300</v>
      </c>
      <c r="T6" s="8">
        <v>69000.0</v>
      </c>
      <c r="U6" s="8">
        <f t="shared" si="2"/>
        <v>3700</v>
      </c>
      <c r="V6" s="7" t="s">
        <v>76</v>
      </c>
      <c r="W6" s="8">
        <v>30000.0</v>
      </c>
      <c r="X6" s="5">
        <v>0.0</v>
      </c>
      <c r="Y6" s="5">
        <v>24.0</v>
      </c>
      <c r="Z6" s="5">
        <v>0.0</v>
      </c>
      <c r="AA6" s="5">
        <v>209.0</v>
      </c>
      <c r="AB6" s="8">
        <v>30000.0</v>
      </c>
      <c r="AC6" s="5">
        <v>0.0</v>
      </c>
      <c r="AD6" s="8">
        <v>0.0</v>
      </c>
      <c r="AE6" s="5">
        <v>0.0</v>
      </c>
      <c r="AF6" s="5">
        <v>0.0</v>
      </c>
      <c r="AG6" s="5">
        <v>0.0</v>
      </c>
      <c r="AH6" s="5">
        <v>0.0</v>
      </c>
      <c r="AI6" s="8">
        <f t="shared" si="3"/>
        <v>30000</v>
      </c>
      <c r="AJ6" s="8">
        <f t="shared" si="4"/>
        <v>0</v>
      </c>
      <c r="AK6" s="5">
        <v>0.0</v>
      </c>
      <c r="AL6" s="11"/>
      <c r="AM6" s="8">
        <f t="shared" si="5"/>
        <v>-39000</v>
      </c>
      <c r="AN6" s="8">
        <f t="shared" si="6"/>
        <v>-35300</v>
      </c>
      <c r="AO6" s="10"/>
      <c r="AP6" s="11"/>
      <c r="AQ6" s="9">
        <v>34601.0</v>
      </c>
      <c r="AR6" s="11"/>
    </row>
    <row r="7">
      <c r="A7" s="5">
        <v>6.0</v>
      </c>
      <c r="B7" s="6">
        <v>44486.0</v>
      </c>
      <c r="C7" s="13" t="s">
        <v>77</v>
      </c>
      <c r="D7" s="5">
        <v>7.977716284E9</v>
      </c>
      <c r="E7" s="7" t="s">
        <v>60</v>
      </c>
      <c r="F7" s="7" t="s">
        <v>78</v>
      </c>
      <c r="G7" s="7" t="s">
        <v>79</v>
      </c>
      <c r="H7" s="7" t="s">
        <v>63</v>
      </c>
      <c r="I7" s="7" t="s">
        <v>80</v>
      </c>
      <c r="J7" s="7" t="s">
        <v>81</v>
      </c>
      <c r="K7" s="7" t="s">
        <v>82</v>
      </c>
      <c r="L7" s="5">
        <v>82000.0</v>
      </c>
      <c r="M7" s="5">
        <v>0.0</v>
      </c>
      <c r="N7" s="5">
        <v>0.0</v>
      </c>
      <c r="O7" s="5">
        <v>0.0</v>
      </c>
      <c r="P7" s="5">
        <f t="shared" si="7"/>
        <v>82000</v>
      </c>
      <c r="Q7" s="5">
        <v>300.0</v>
      </c>
      <c r="R7" s="5">
        <v>1500.0</v>
      </c>
      <c r="S7" s="5">
        <f t="shared" si="1"/>
        <v>83800</v>
      </c>
      <c r="T7" s="8">
        <v>86000.0</v>
      </c>
      <c r="U7" s="8">
        <f t="shared" si="2"/>
        <v>2200</v>
      </c>
      <c r="V7" s="7" t="s">
        <v>58</v>
      </c>
      <c r="W7" s="5">
        <v>86000.0</v>
      </c>
      <c r="X7" s="5">
        <v>0.0</v>
      </c>
      <c r="Y7" s="5">
        <v>0.0</v>
      </c>
      <c r="Z7" s="5">
        <v>0.0</v>
      </c>
      <c r="AA7" s="5">
        <v>206.0</v>
      </c>
      <c r="AB7" s="5">
        <v>2000.0</v>
      </c>
      <c r="AC7" s="5">
        <v>211.0</v>
      </c>
      <c r="AD7" s="8">
        <v>84000.0</v>
      </c>
      <c r="AE7" s="5">
        <v>0.0</v>
      </c>
      <c r="AF7" s="5">
        <v>0.0</v>
      </c>
      <c r="AG7" s="5">
        <v>0.0</v>
      </c>
      <c r="AH7" s="5">
        <v>0.0</v>
      </c>
      <c r="AI7" s="8">
        <f t="shared" si="3"/>
        <v>86000</v>
      </c>
      <c r="AJ7" s="8">
        <f t="shared" si="4"/>
        <v>0</v>
      </c>
      <c r="AK7" s="11"/>
      <c r="AL7" s="11"/>
      <c r="AM7" s="8">
        <f t="shared" si="5"/>
        <v>0</v>
      </c>
      <c r="AN7" s="8">
        <f t="shared" si="6"/>
        <v>2200</v>
      </c>
      <c r="AO7" s="10"/>
      <c r="AP7" s="7" t="s">
        <v>83</v>
      </c>
      <c r="AQ7" s="9">
        <v>27624.0</v>
      </c>
      <c r="AR7" s="11"/>
    </row>
    <row r="8">
      <c r="A8" s="5">
        <v>7.0</v>
      </c>
      <c r="B8" s="6">
        <v>44487.0</v>
      </c>
      <c r="C8" s="7" t="s">
        <v>84</v>
      </c>
      <c r="D8" s="5">
        <v>7.900002579E9</v>
      </c>
      <c r="E8" s="7" t="s">
        <v>60</v>
      </c>
      <c r="F8" s="7" t="s">
        <v>85</v>
      </c>
      <c r="G8" s="7" t="s">
        <v>86</v>
      </c>
      <c r="H8" s="7" t="s">
        <v>63</v>
      </c>
      <c r="I8" s="7" t="s">
        <v>87</v>
      </c>
      <c r="J8" s="7" t="s">
        <v>88</v>
      </c>
      <c r="K8" s="7" t="s">
        <v>82</v>
      </c>
      <c r="L8" s="8">
        <v>130000.0</v>
      </c>
      <c r="M8" s="5">
        <v>0.0</v>
      </c>
      <c r="N8" s="5">
        <v>0.0</v>
      </c>
      <c r="O8" s="5">
        <v>0.0</v>
      </c>
      <c r="P8" s="8">
        <f t="shared" si="7"/>
        <v>130000</v>
      </c>
      <c r="Q8" s="5">
        <v>500.0</v>
      </c>
      <c r="R8" s="5">
        <v>1500.0</v>
      </c>
      <c r="S8" s="8">
        <f t="shared" si="1"/>
        <v>132000</v>
      </c>
      <c r="T8" s="8">
        <v>140500.0</v>
      </c>
      <c r="U8" s="8">
        <f t="shared" si="2"/>
        <v>8500</v>
      </c>
      <c r="V8" s="7" t="s">
        <v>58</v>
      </c>
      <c r="W8" s="5">
        <v>140500.0</v>
      </c>
      <c r="X8" s="5">
        <v>0.0</v>
      </c>
      <c r="Y8" s="5">
        <v>0.0</v>
      </c>
      <c r="Z8" s="5">
        <v>0.0</v>
      </c>
      <c r="AA8" s="5">
        <v>210.0</v>
      </c>
      <c r="AB8" s="5">
        <v>5000.0</v>
      </c>
      <c r="AC8" s="5">
        <v>213.0</v>
      </c>
      <c r="AD8" s="8">
        <v>40000.0</v>
      </c>
      <c r="AE8" s="5">
        <v>215.0</v>
      </c>
      <c r="AF8" s="8">
        <v>95500.0</v>
      </c>
      <c r="AG8" s="5">
        <v>0.0</v>
      </c>
      <c r="AH8" s="5">
        <v>0.0</v>
      </c>
      <c r="AI8" s="8">
        <f t="shared" si="3"/>
        <v>140500</v>
      </c>
      <c r="AJ8" s="8">
        <f t="shared" si="4"/>
        <v>0</v>
      </c>
      <c r="AK8" s="11"/>
      <c r="AL8" s="11"/>
      <c r="AM8" s="8">
        <f t="shared" si="5"/>
        <v>0</v>
      </c>
      <c r="AN8" s="8">
        <f t="shared" si="6"/>
        <v>8500</v>
      </c>
      <c r="AO8" s="10"/>
      <c r="AP8" s="7" t="s">
        <v>89</v>
      </c>
      <c r="AQ8" s="9">
        <v>35796.0</v>
      </c>
      <c r="AR8" s="11"/>
    </row>
    <row r="9">
      <c r="A9" s="14">
        <v>8.0</v>
      </c>
      <c r="B9" s="6">
        <v>44490.0</v>
      </c>
      <c r="C9" s="7" t="s">
        <v>90</v>
      </c>
      <c r="D9" s="5">
        <v>8.652112137E9</v>
      </c>
      <c r="E9" s="7" t="s">
        <v>60</v>
      </c>
      <c r="F9" s="7" t="s">
        <v>78</v>
      </c>
      <c r="G9" s="7" t="s">
        <v>62</v>
      </c>
      <c r="H9" s="7" t="s">
        <v>63</v>
      </c>
      <c r="I9" s="7" t="s">
        <v>91</v>
      </c>
      <c r="J9" s="7" t="s">
        <v>92</v>
      </c>
      <c r="K9" s="7" t="s">
        <v>82</v>
      </c>
      <c r="L9" s="5">
        <v>82000.0</v>
      </c>
      <c r="M9" s="5">
        <v>0.0</v>
      </c>
      <c r="N9" s="5">
        <v>0.0</v>
      </c>
      <c r="O9" s="5">
        <v>0.0</v>
      </c>
      <c r="P9" s="5">
        <f t="shared" si="7"/>
        <v>82000</v>
      </c>
      <c r="Q9" s="5">
        <v>500.0</v>
      </c>
      <c r="R9" s="5">
        <v>1500.0</v>
      </c>
      <c r="S9" s="5">
        <f t="shared" si="1"/>
        <v>84000</v>
      </c>
      <c r="T9" s="8">
        <v>85000.0</v>
      </c>
      <c r="U9" s="8">
        <f t="shared" si="2"/>
        <v>1000</v>
      </c>
      <c r="V9" s="7" t="s">
        <v>76</v>
      </c>
      <c r="W9" s="8">
        <v>20000.0</v>
      </c>
      <c r="X9" s="8">
        <v>70000.0</v>
      </c>
      <c r="Y9" s="5">
        <v>18.0</v>
      </c>
      <c r="Z9" s="5">
        <v>4608.0</v>
      </c>
      <c r="AA9" s="5">
        <v>214.0</v>
      </c>
      <c r="AB9" s="5">
        <v>500.0</v>
      </c>
      <c r="AC9" s="5">
        <v>223.0</v>
      </c>
      <c r="AD9" s="8">
        <v>19500.0</v>
      </c>
      <c r="AE9" s="5">
        <v>0.0</v>
      </c>
      <c r="AF9" s="5">
        <v>0.0</v>
      </c>
      <c r="AG9" s="5">
        <v>0.0</v>
      </c>
      <c r="AH9" s="5">
        <v>0.0</v>
      </c>
      <c r="AI9" s="8">
        <f t="shared" si="3"/>
        <v>20000</v>
      </c>
      <c r="AJ9" s="8">
        <f t="shared" si="4"/>
        <v>0</v>
      </c>
      <c r="AK9" s="11"/>
      <c r="AL9" s="8">
        <v>67300.0</v>
      </c>
      <c r="AM9" s="8">
        <f t="shared" si="5"/>
        <v>2300</v>
      </c>
      <c r="AN9" s="8">
        <f t="shared" si="6"/>
        <v>3300</v>
      </c>
      <c r="AO9" s="10"/>
      <c r="AP9" s="7" t="s">
        <v>93</v>
      </c>
      <c r="AQ9" s="9">
        <v>25021.0</v>
      </c>
      <c r="AR9" s="11"/>
    </row>
    <row r="10">
      <c r="A10" s="5">
        <v>9.0</v>
      </c>
      <c r="B10" s="6">
        <v>44488.0</v>
      </c>
      <c r="C10" s="7" t="s">
        <v>94</v>
      </c>
      <c r="D10" s="5">
        <v>8.655505912E9</v>
      </c>
      <c r="E10" s="7" t="s">
        <v>52</v>
      </c>
      <c r="F10" s="7" t="s">
        <v>95</v>
      </c>
      <c r="G10" s="7" t="s">
        <v>54</v>
      </c>
      <c r="H10" s="7" t="s">
        <v>55</v>
      </c>
      <c r="I10" s="7" t="s">
        <v>96</v>
      </c>
      <c r="J10" s="11"/>
      <c r="K10" s="7" t="s">
        <v>82</v>
      </c>
      <c r="L10" s="8">
        <v>85000.0</v>
      </c>
      <c r="M10" s="5">
        <v>0.0</v>
      </c>
      <c r="N10" s="5">
        <v>0.0</v>
      </c>
      <c r="O10" s="5">
        <v>0.0</v>
      </c>
      <c r="P10" s="8">
        <f t="shared" si="7"/>
        <v>85000</v>
      </c>
      <c r="Q10" s="5">
        <v>0.0</v>
      </c>
      <c r="R10" s="5">
        <v>0.0</v>
      </c>
      <c r="S10" s="8">
        <f t="shared" si="1"/>
        <v>85000</v>
      </c>
      <c r="T10" s="8">
        <v>89000.0</v>
      </c>
      <c r="U10" s="8">
        <f t="shared" si="2"/>
        <v>4000</v>
      </c>
      <c r="V10" s="7" t="s">
        <v>76</v>
      </c>
      <c r="W10" s="8">
        <v>23000.0</v>
      </c>
      <c r="X10" s="11"/>
      <c r="Y10" s="5">
        <v>24.0</v>
      </c>
      <c r="Z10" s="5">
        <v>0.0</v>
      </c>
      <c r="AA10" s="5">
        <v>219.0</v>
      </c>
      <c r="AB10" s="5">
        <v>16000.0</v>
      </c>
      <c r="AC10" s="5">
        <v>241.0</v>
      </c>
      <c r="AD10" s="5">
        <v>4000.0</v>
      </c>
      <c r="AE10" s="5">
        <v>246.0</v>
      </c>
      <c r="AF10" s="5">
        <v>3000.0</v>
      </c>
      <c r="AG10" s="5">
        <v>0.0</v>
      </c>
      <c r="AH10" s="5">
        <v>0.0</v>
      </c>
      <c r="AI10" s="5">
        <f t="shared" si="3"/>
        <v>23000</v>
      </c>
      <c r="AJ10" s="8">
        <f t="shared" si="4"/>
        <v>0</v>
      </c>
      <c r="AK10" s="11"/>
      <c r="AL10" s="11"/>
      <c r="AM10" s="8">
        <f t="shared" si="5"/>
        <v>-66000</v>
      </c>
      <c r="AN10" s="8">
        <f t="shared" si="6"/>
        <v>-62000</v>
      </c>
      <c r="AO10" s="10"/>
      <c r="AP10" s="11"/>
      <c r="AQ10" s="9">
        <v>34601.0</v>
      </c>
      <c r="AR10" s="11"/>
    </row>
    <row r="11">
      <c r="A11" s="5">
        <v>10.0</v>
      </c>
      <c r="B11" s="6">
        <v>44491.0</v>
      </c>
      <c r="C11" s="7" t="s">
        <v>97</v>
      </c>
      <c r="D11" s="5">
        <v>8.87947803E9</v>
      </c>
      <c r="E11" s="7" t="s">
        <v>98</v>
      </c>
      <c r="F11" s="7" t="s">
        <v>99</v>
      </c>
      <c r="G11" s="7" t="s">
        <v>100</v>
      </c>
      <c r="H11" s="7" t="s">
        <v>98</v>
      </c>
      <c r="I11" s="7" t="s">
        <v>101</v>
      </c>
      <c r="J11" s="7" t="s">
        <v>102</v>
      </c>
      <c r="K11" s="7" t="s">
        <v>82</v>
      </c>
      <c r="L11" s="5">
        <v>65000.0</v>
      </c>
      <c r="M11" s="5">
        <v>0.0</v>
      </c>
      <c r="N11" s="5">
        <v>0.0</v>
      </c>
      <c r="O11" s="5">
        <v>0.0</v>
      </c>
      <c r="P11" s="5">
        <f t="shared" si="7"/>
        <v>65000</v>
      </c>
      <c r="Q11" s="5">
        <v>500.0</v>
      </c>
      <c r="R11" s="5">
        <v>1500.0</v>
      </c>
      <c r="S11" s="5">
        <f t="shared" si="1"/>
        <v>67000</v>
      </c>
      <c r="T11" s="5">
        <v>74000.0</v>
      </c>
      <c r="U11" s="5">
        <f t="shared" si="2"/>
        <v>7000</v>
      </c>
      <c r="V11" s="7" t="s">
        <v>49</v>
      </c>
      <c r="W11" s="5">
        <v>15000.0</v>
      </c>
      <c r="X11" s="11"/>
      <c r="Y11" s="11"/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  <c r="AG11" s="5">
        <v>0.0</v>
      </c>
      <c r="AH11" s="5">
        <v>0.0</v>
      </c>
      <c r="AI11" s="5">
        <f t="shared" si="3"/>
        <v>0</v>
      </c>
      <c r="AJ11" s="5">
        <f t="shared" si="4"/>
        <v>15000</v>
      </c>
      <c r="AK11" s="11"/>
      <c r="AL11" s="11"/>
      <c r="AM11" s="8">
        <f t="shared" si="5"/>
        <v>-74000</v>
      </c>
      <c r="AN11" s="8">
        <f t="shared" si="6"/>
        <v>-67000</v>
      </c>
      <c r="AO11" s="10"/>
      <c r="AP11" s="11"/>
      <c r="AQ11" s="11"/>
      <c r="AR11" s="11"/>
    </row>
    <row r="12">
      <c r="A12" s="5">
        <v>11.0</v>
      </c>
      <c r="B12" s="6">
        <v>44484.0</v>
      </c>
      <c r="C12" s="7" t="s">
        <v>103</v>
      </c>
      <c r="D12" s="5">
        <v>7.715947702E9</v>
      </c>
      <c r="E12" s="7" t="s">
        <v>60</v>
      </c>
      <c r="F12" s="7" t="s">
        <v>104</v>
      </c>
      <c r="G12" s="7" t="s">
        <v>105</v>
      </c>
      <c r="H12" s="7" t="s">
        <v>106</v>
      </c>
      <c r="I12" s="7" t="s">
        <v>107</v>
      </c>
      <c r="J12" s="7" t="s">
        <v>108</v>
      </c>
      <c r="K12" s="7" t="s">
        <v>82</v>
      </c>
      <c r="L12" s="5">
        <v>130000.0</v>
      </c>
      <c r="M12" s="5">
        <v>0.0</v>
      </c>
      <c r="N12" s="5">
        <v>0.0</v>
      </c>
      <c r="O12" s="5">
        <v>0.0</v>
      </c>
      <c r="P12" s="5">
        <f t="shared" si="7"/>
        <v>130000</v>
      </c>
      <c r="Q12" s="5">
        <v>500.0</v>
      </c>
      <c r="R12" s="5">
        <v>1500.0</v>
      </c>
      <c r="S12" s="5">
        <f t="shared" si="1"/>
        <v>132000</v>
      </c>
      <c r="T12" s="5">
        <v>132000.0</v>
      </c>
      <c r="U12" s="5">
        <f t="shared" si="2"/>
        <v>0</v>
      </c>
      <c r="V12" s="7" t="s">
        <v>49</v>
      </c>
      <c r="W12" s="5">
        <v>40000.0</v>
      </c>
      <c r="X12" s="5">
        <v>88000.0</v>
      </c>
      <c r="Y12" s="5">
        <v>24.0</v>
      </c>
      <c r="Z12" s="5">
        <v>4546.0</v>
      </c>
      <c r="AA12" s="5">
        <v>218.0</v>
      </c>
      <c r="AB12" s="5">
        <v>10000.0</v>
      </c>
      <c r="AC12" s="5">
        <v>296.0</v>
      </c>
      <c r="AD12" s="5">
        <v>30000.0</v>
      </c>
      <c r="AE12" s="5">
        <v>0.0</v>
      </c>
      <c r="AF12" s="5">
        <v>0.0</v>
      </c>
      <c r="AG12" s="5">
        <v>0.0</v>
      </c>
      <c r="AH12" s="5">
        <v>0.0</v>
      </c>
      <c r="AI12" s="5">
        <f t="shared" si="3"/>
        <v>40000</v>
      </c>
      <c r="AJ12" s="5">
        <f t="shared" si="4"/>
        <v>0</v>
      </c>
      <c r="AK12" s="11"/>
      <c r="AL12" s="11"/>
      <c r="AM12" s="8">
        <f t="shared" si="5"/>
        <v>-92000</v>
      </c>
      <c r="AN12" s="8">
        <f t="shared" si="6"/>
        <v>-92000</v>
      </c>
      <c r="AO12" s="10"/>
      <c r="AP12" s="11"/>
      <c r="AQ12" s="11"/>
      <c r="AR12" s="11"/>
    </row>
    <row r="13">
      <c r="A13" s="5">
        <v>12.0</v>
      </c>
      <c r="B13" s="6">
        <v>44491.0</v>
      </c>
      <c r="C13" s="7" t="s">
        <v>109</v>
      </c>
      <c r="D13" s="5">
        <v>8.108920399E9</v>
      </c>
      <c r="E13" s="7" t="s">
        <v>110</v>
      </c>
      <c r="F13" s="7" t="s">
        <v>111</v>
      </c>
      <c r="G13" s="7" t="s">
        <v>73</v>
      </c>
      <c r="H13" s="7" t="s">
        <v>112</v>
      </c>
      <c r="I13" s="7" t="s">
        <v>113</v>
      </c>
      <c r="J13" s="7" t="s">
        <v>114</v>
      </c>
      <c r="K13" s="7" t="s">
        <v>48</v>
      </c>
      <c r="L13" s="5">
        <v>87000.0</v>
      </c>
      <c r="M13" s="5">
        <v>10229.0</v>
      </c>
      <c r="N13" s="5">
        <v>0.0</v>
      </c>
      <c r="O13" s="5">
        <v>500.0</v>
      </c>
      <c r="P13" s="5">
        <f t="shared" si="7"/>
        <v>97729</v>
      </c>
      <c r="Q13" s="5">
        <v>500.0</v>
      </c>
      <c r="R13" s="5">
        <v>1500.0</v>
      </c>
      <c r="S13" s="5">
        <f t="shared" si="1"/>
        <v>99729</v>
      </c>
      <c r="T13" s="8">
        <v>103000.0</v>
      </c>
      <c r="U13" s="8">
        <f t="shared" si="2"/>
        <v>3271</v>
      </c>
      <c r="V13" s="7" t="s">
        <v>76</v>
      </c>
      <c r="W13" s="8">
        <v>15000.0</v>
      </c>
      <c r="X13" s="11"/>
      <c r="Y13" s="5">
        <v>36.0</v>
      </c>
      <c r="Z13" s="5">
        <v>0.0</v>
      </c>
      <c r="AA13" s="5">
        <v>220.0</v>
      </c>
      <c r="AB13" s="5">
        <v>15000.0</v>
      </c>
      <c r="AC13" s="5">
        <v>244.0</v>
      </c>
      <c r="AD13" s="5">
        <v>1600.0</v>
      </c>
      <c r="AE13" s="5">
        <v>0.0</v>
      </c>
      <c r="AF13" s="5">
        <v>0.0</v>
      </c>
      <c r="AG13" s="5">
        <v>0.0</v>
      </c>
      <c r="AH13" s="5">
        <v>0.0</v>
      </c>
      <c r="AI13" s="5">
        <f t="shared" si="3"/>
        <v>16600</v>
      </c>
      <c r="AJ13" s="8">
        <f t="shared" si="4"/>
        <v>-1600</v>
      </c>
      <c r="AK13" s="11"/>
      <c r="AL13" s="8">
        <v>89582.0</v>
      </c>
      <c r="AM13" s="8">
        <f t="shared" si="5"/>
        <v>3182</v>
      </c>
      <c r="AN13" s="8">
        <f t="shared" si="6"/>
        <v>6453</v>
      </c>
      <c r="AO13" s="10"/>
      <c r="AP13" s="7" t="s">
        <v>115</v>
      </c>
      <c r="AQ13" s="11"/>
      <c r="AR13" s="11"/>
    </row>
    <row r="14">
      <c r="A14" s="5">
        <v>13.0</v>
      </c>
      <c r="B14" s="6">
        <v>44491.0</v>
      </c>
      <c r="C14" s="7" t="s">
        <v>116</v>
      </c>
      <c r="D14" s="5">
        <v>8.097525824E9</v>
      </c>
      <c r="E14" s="7" t="s">
        <v>52</v>
      </c>
      <c r="F14" s="7" t="s">
        <v>117</v>
      </c>
      <c r="G14" s="7" t="s">
        <v>73</v>
      </c>
      <c r="H14" s="7" t="s">
        <v>55</v>
      </c>
      <c r="I14" s="11"/>
      <c r="J14" s="11"/>
      <c r="K14" s="7" t="s">
        <v>82</v>
      </c>
      <c r="L14" s="5">
        <v>85000.0</v>
      </c>
      <c r="M14" s="5">
        <v>0.0</v>
      </c>
      <c r="N14" s="5">
        <v>0.0</v>
      </c>
      <c r="O14" s="5">
        <v>0.0</v>
      </c>
      <c r="P14" s="5">
        <f t="shared" si="7"/>
        <v>85000</v>
      </c>
      <c r="Q14" s="5">
        <v>0.0</v>
      </c>
      <c r="R14" s="5">
        <v>0.0</v>
      </c>
      <c r="S14" s="5">
        <f t="shared" si="1"/>
        <v>85000</v>
      </c>
      <c r="T14" s="8">
        <v>89000.0</v>
      </c>
      <c r="U14" s="8">
        <f t="shared" si="2"/>
        <v>4000</v>
      </c>
      <c r="V14" s="7" t="s">
        <v>76</v>
      </c>
      <c r="W14" s="8">
        <v>16700.0</v>
      </c>
      <c r="X14" s="8">
        <v>68300.0</v>
      </c>
      <c r="Y14" s="5">
        <v>24.0</v>
      </c>
      <c r="Z14" s="5">
        <v>3700.0</v>
      </c>
      <c r="AA14" s="5">
        <v>221.0</v>
      </c>
      <c r="AB14" s="8">
        <v>16700.0</v>
      </c>
      <c r="AC14" s="5">
        <v>0.0</v>
      </c>
      <c r="AD14" s="5">
        <v>0.0</v>
      </c>
      <c r="AE14" s="5">
        <v>0.0</v>
      </c>
      <c r="AF14" s="5">
        <v>0.0</v>
      </c>
      <c r="AG14" s="5">
        <v>0.0</v>
      </c>
      <c r="AH14" s="5">
        <v>0.0</v>
      </c>
      <c r="AI14" s="8">
        <f t="shared" si="3"/>
        <v>16700</v>
      </c>
      <c r="AJ14" s="8">
        <f t="shared" si="4"/>
        <v>0</v>
      </c>
      <c r="AK14" s="5">
        <v>0.0</v>
      </c>
      <c r="AL14" s="8">
        <v>68300.0</v>
      </c>
      <c r="AM14" s="8">
        <f t="shared" si="5"/>
        <v>-4000</v>
      </c>
      <c r="AN14" s="8">
        <f t="shared" si="6"/>
        <v>0</v>
      </c>
      <c r="AO14" s="10"/>
      <c r="AP14" s="11"/>
      <c r="AQ14" s="11"/>
      <c r="AR14" s="11"/>
    </row>
    <row r="15">
      <c r="A15" s="5">
        <v>14.0</v>
      </c>
      <c r="B15" s="6">
        <v>44493.0</v>
      </c>
      <c r="C15" s="7" t="s">
        <v>118</v>
      </c>
      <c r="D15" s="5">
        <v>9.930444624E9</v>
      </c>
      <c r="E15" s="7" t="s">
        <v>119</v>
      </c>
      <c r="F15" s="7" t="s">
        <v>120</v>
      </c>
      <c r="G15" s="7" t="s">
        <v>121</v>
      </c>
      <c r="H15" s="7" t="s">
        <v>122</v>
      </c>
      <c r="I15" s="7" t="s">
        <v>123</v>
      </c>
      <c r="J15" s="7" t="s">
        <v>124</v>
      </c>
      <c r="K15" s="7" t="s">
        <v>125</v>
      </c>
      <c r="L15" s="8">
        <v>75469.0</v>
      </c>
      <c r="M15" s="5">
        <v>0.0</v>
      </c>
      <c r="N15" s="5">
        <v>0.0</v>
      </c>
      <c r="O15" s="5">
        <v>0.0</v>
      </c>
      <c r="P15" s="8">
        <f t="shared" si="7"/>
        <v>75469</v>
      </c>
      <c r="Q15" s="5">
        <v>500.0</v>
      </c>
      <c r="R15" s="5">
        <v>1500.0</v>
      </c>
      <c r="S15" s="8">
        <f t="shared" si="1"/>
        <v>77469</v>
      </c>
      <c r="T15" s="8">
        <v>82000.0</v>
      </c>
      <c r="U15" s="8">
        <f t="shared" si="2"/>
        <v>4531</v>
      </c>
      <c r="V15" s="7" t="s">
        <v>49</v>
      </c>
      <c r="W15" s="8">
        <v>25000.0</v>
      </c>
      <c r="X15" s="5">
        <v>62000.0</v>
      </c>
      <c r="Y15" s="11"/>
      <c r="Z15" s="11"/>
      <c r="AA15" s="5">
        <v>222.0</v>
      </c>
      <c r="AB15" s="5">
        <v>500.0</v>
      </c>
      <c r="AC15" s="5">
        <v>235.0</v>
      </c>
      <c r="AD15" s="8">
        <v>10000.0</v>
      </c>
      <c r="AE15" s="5">
        <v>236.0</v>
      </c>
      <c r="AF15" s="8">
        <v>14500.0</v>
      </c>
      <c r="AG15" s="5">
        <v>0.0</v>
      </c>
      <c r="AH15" s="5">
        <v>0.0</v>
      </c>
      <c r="AI15" s="8">
        <f t="shared" si="3"/>
        <v>25000</v>
      </c>
      <c r="AJ15" s="8">
        <f t="shared" si="4"/>
        <v>0</v>
      </c>
      <c r="AK15" s="11"/>
      <c r="AL15" s="5">
        <v>60500.0</v>
      </c>
      <c r="AM15" s="8">
        <f t="shared" si="5"/>
        <v>3500</v>
      </c>
      <c r="AN15" s="8">
        <f t="shared" si="6"/>
        <v>8031</v>
      </c>
      <c r="AO15" s="10"/>
      <c r="AP15" s="7" t="s">
        <v>126</v>
      </c>
      <c r="AQ15" s="11"/>
      <c r="AR15" s="11"/>
    </row>
    <row r="16">
      <c r="A16" s="5">
        <v>15.0</v>
      </c>
      <c r="B16" s="6">
        <v>44478.0</v>
      </c>
      <c r="C16" s="7" t="s">
        <v>127</v>
      </c>
      <c r="D16" s="5">
        <v>8.693050908E9</v>
      </c>
      <c r="E16" s="7" t="s">
        <v>60</v>
      </c>
      <c r="F16" s="7" t="s">
        <v>128</v>
      </c>
      <c r="G16" s="7" t="s">
        <v>129</v>
      </c>
      <c r="H16" s="7" t="s">
        <v>63</v>
      </c>
      <c r="I16" s="7" t="s">
        <v>130</v>
      </c>
      <c r="J16" s="7" t="s">
        <v>131</v>
      </c>
      <c r="K16" s="7" t="s">
        <v>82</v>
      </c>
      <c r="L16" s="8">
        <v>82000.0</v>
      </c>
      <c r="M16" s="5">
        <v>0.0</v>
      </c>
      <c r="N16" s="5">
        <v>0.0</v>
      </c>
      <c r="O16" s="5">
        <v>0.0</v>
      </c>
      <c r="P16" s="8">
        <f t="shared" si="7"/>
        <v>82000</v>
      </c>
      <c r="Q16" s="5">
        <v>500.0</v>
      </c>
      <c r="R16" s="5">
        <v>1500.0</v>
      </c>
      <c r="S16" s="8">
        <f t="shared" si="1"/>
        <v>84000</v>
      </c>
      <c r="T16" s="8">
        <v>84000.0</v>
      </c>
      <c r="U16" s="8">
        <f t="shared" si="2"/>
        <v>0</v>
      </c>
      <c r="V16" s="7" t="s">
        <v>76</v>
      </c>
      <c r="W16" s="8">
        <v>12000.0</v>
      </c>
      <c r="X16" s="11"/>
      <c r="Y16" s="11"/>
      <c r="Z16" s="11"/>
      <c r="AA16" s="5">
        <v>224.0</v>
      </c>
      <c r="AB16" s="5">
        <v>1000.0</v>
      </c>
      <c r="AC16" s="5">
        <v>227.0</v>
      </c>
      <c r="AD16" s="8">
        <v>11000.0</v>
      </c>
      <c r="AE16" s="5">
        <v>0.0</v>
      </c>
      <c r="AF16" s="5">
        <v>0.0</v>
      </c>
      <c r="AG16" s="5">
        <v>0.0</v>
      </c>
      <c r="AH16" s="5">
        <v>0.0</v>
      </c>
      <c r="AI16" s="8">
        <f t="shared" si="3"/>
        <v>12000</v>
      </c>
      <c r="AJ16" s="8">
        <f t="shared" si="4"/>
        <v>0</v>
      </c>
      <c r="AK16" s="11"/>
      <c r="AL16" s="5">
        <v>78290.0</v>
      </c>
      <c r="AM16" s="8">
        <f t="shared" si="5"/>
        <v>6290</v>
      </c>
      <c r="AN16" s="8">
        <f t="shared" si="6"/>
        <v>6290</v>
      </c>
      <c r="AO16" s="10"/>
      <c r="AP16" s="11"/>
      <c r="AQ16" s="9">
        <v>32531.0</v>
      </c>
      <c r="AR16" s="11"/>
    </row>
    <row r="17">
      <c r="A17" s="5">
        <v>16.0</v>
      </c>
      <c r="B17" s="6">
        <v>44494.0</v>
      </c>
      <c r="C17" s="7" t="s">
        <v>132</v>
      </c>
      <c r="D17" s="5">
        <v>9.987645914E9</v>
      </c>
      <c r="E17" s="7" t="s">
        <v>119</v>
      </c>
      <c r="F17" s="7" t="s">
        <v>133</v>
      </c>
      <c r="G17" s="7" t="s">
        <v>100</v>
      </c>
      <c r="H17" s="7" t="s">
        <v>122</v>
      </c>
      <c r="I17" s="7" t="s">
        <v>134</v>
      </c>
      <c r="J17" s="7" t="s">
        <v>135</v>
      </c>
      <c r="K17" s="7" t="s">
        <v>48</v>
      </c>
      <c r="L17" s="8">
        <v>70000.0</v>
      </c>
      <c r="M17" s="5">
        <v>0.0</v>
      </c>
      <c r="N17" s="5">
        <v>0.0</v>
      </c>
      <c r="O17" s="5">
        <v>0.0</v>
      </c>
      <c r="P17" s="8">
        <f t="shared" si="7"/>
        <v>70000</v>
      </c>
      <c r="Q17" s="5">
        <v>500.0</v>
      </c>
      <c r="R17" s="5">
        <v>1500.0</v>
      </c>
      <c r="S17" s="8">
        <f t="shared" si="1"/>
        <v>72000</v>
      </c>
      <c r="T17" s="8">
        <v>80000.0</v>
      </c>
      <c r="U17" s="8">
        <f t="shared" si="2"/>
        <v>8000</v>
      </c>
      <c r="V17" s="7" t="s">
        <v>76</v>
      </c>
      <c r="W17" s="8">
        <v>13000.0</v>
      </c>
      <c r="X17" s="11"/>
      <c r="Y17" s="11"/>
      <c r="Z17" s="5">
        <v>3967.0</v>
      </c>
      <c r="AA17" s="5">
        <v>226.0</v>
      </c>
      <c r="AB17" s="5">
        <v>500.0</v>
      </c>
      <c r="AC17" s="5">
        <v>228.0</v>
      </c>
      <c r="AD17" s="8">
        <v>12500.0</v>
      </c>
      <c r="AE17" s="5">
        <v>0.0</v>
      </c>
      <c r="AF17" s="5">
        <v>0.0</v>
      </c>
      <c r="AG17" s="5">
        <v>0.0</v>
      </c>
      <c r="AH17" s="5">
        <v>0.0</v>
      </c>
      <c r="AI17" s="8">
        <f t="shared" si="3"/>
        <v>13000</v>
      </c>
      <c r="AJ17" s="8">
        <f t="shared" si="4"/>
        <v>0</v>
      </c>
      <c r="AK17" s="11"/>
      <c r="AL17" s="5">
        <v>70811.0</v>
      </c>
      <c r="AM17" s="8">
        <f t="shared" si="5"/>
        <v>3811</v>
      </c>
      <c r="AN17" s="8">
        <f t="shared" si="6"/>
        <v>11811</v>
      </c>
      <c r="AO17" s="10"/>
      <c r="AP17" s="7" t="s">
        <v>136</v>
      </c>
      <c r="AQ17" s="9">
        <v>30977.0</v>
      </c>
      <c r="AR17" s="11"/>
    </row>
    <row r="18">
      <c r="A18" s="5">
        <v>17.0</v>
      </c>
      <c r="B18" s="6">
        <v>44500.0</v>
      </c>
      <c r="C18" s="7" t="s">
        <v>137</v>
      </c>
      <c r="D18" s="5">
        <v>0.0</v>
      </c>
      <c r="E18" s="7" t="s">
        <v>42</v>
      </c>
      <c r="F18" s="7" t="s">
        <v>138</v>
      </c>
      <c r="G18" s="7" t="s">
        <v>139</v>
      </c>
      <c r="H18" s="7" t="s">
        <v>140</v>
      </c>
      <c r="I18" s="7" t="s">
        <v>141</v>
      </c>
      <c r="J18" s="7" t="s">
        <v>142</v>
      </c>
      <c r="K18" s="7" t="s">
        <v>82</v>
      </c>
      <c r="L18" s="8">
        <v>128000.0</v>
      </c>
      <c r="M18" s="5">
        <v>0.0</v>
      </c>
      <c r="N18" s="5">
        <v>0.0</v>
      </c>
      <c r="O18" s="5">
        <v>0.0</v>
      </c>
      <c r="P18" s="8">
        <f t="shared" si="7"/>
        <v>128000</v>
      </c>
      <c r="Q18" s="5">
        <v>500.0</v>
      </c>
      <c r="R18" s="5">
        <v>1500.0</v>
      </c>
      <c r="S18" s="8">
        <f t="shared" si="1"/>
        <v>130000</v>
      </c>
      <c r="T18" s="8">
        <v>132000.0</v>
      </c>
      <c r="U18" s="8">
        <f t="shared" si="2"/>
        <v>2000</v>
      </c>
      <c r="V18" s="7" t="s">
        <v>58</v>
      </c>
      <c r="W18" s="5">
        <v>132000.0</v>
      </c>
      <c r="X18" s="5">
        <v>0.0</v>
      </c>
      <c r="Y18" s="5">
        <v>0.0</v>
      </c>
      <c r="Z18" s="5">
        <v>0.0</v>
      </c>
      <c r="AA18" s="5">
        <v>233.0</v>
      </c>
      <c r="AB18" s="8">
        <v>30000.0</v>
      </c>
      <c r="AC18" s="5">
        <v>243.0</v>
      </c>
      <c r="AD18" s="8">
        <v>102000.0</v>
      </c>
      <c r="AE18" s="5">
        <v>0.0</v>
      </c>
      <c r="AF18" s="5">
        <v>0.0</v>
      </c>
      <c r="AG18" s="5">
        <v>0.0</v>
      </c>
      <c r="AH18" s="5">
        <v>0.0</v>
      </c>
      <c r="AI18" s="8">
        <f t="shared" si="3"/>
        <v>132000</v>
      </c>
      <c r="AJ18" s="8">
        <f t="shared" si="4"/>
        <v>0</v>
      </c>
      <c r="AK18" s="5">
        <v>0.0</v>
      </c>
      <c r="AL18" s="11"/>
      <c r="AM18" s="8">
        <f t="shared" si="5"/>
        <v>0</v>
      </c>
      <c r="AN18" s="8">
        <f t="shared" si="6"/>
        <v>2000</v>
      </c>
      <c r="AO18" s="10"/>
      <c r="AP18" s="11"/>
      <c r="AQ18" s="9">
        <v>36672.0</v>
      </c>
      <c r="AR18" s="11"/>
    </row>
    <row r="19">
      <c r="A19" s="5">
        <v>18.0</v>
      </c>
      <c r="B19" s="6">
        <v>44500.0</v>
      </c>
      <c r="C19" s="7" t="s">
        <v>143</v>
      </c>
      <c r="D19" s="5">
        <v>7.261941001E9</v>
      </c>
      <c r="E19" s="7" t="s">
        <v>144</v>
      </c>
      <c r="F19" s="7" t="s">
        <v>145</v>
      </c>
      <c r="G19" s="7" t="s">
        <v>146</v>
      </c>
      <c r="H19" s="7" t="s">
        <v>147</v>
      </c>
      <c r="I19" s="7" t="s">
        <v>148</v>
      </c>
      <c r="J19" s="7" t="s">
        <v>149</v>
      </c>
      <c r="K19" s="7" t="s">
        <v>82</v>
      </c>
      <c r="L19" s="8">
        <f>103000</f>
        <v>103000</v>
      </c>
      <c r="M19" s="5">
        <v>0.0</v>
      </c>
      <c r="N19" s="5">
        <v>0.0</v>
      </c>
      <c r="O19" s="5">
        <v>0.0</v>
      </c>
      <c r="P19" s="8">
        <f t="shared" si="7"/>
        <v>103000</v>
      </c>
      <c r="Q19" s="5">
        <v>500.0</v>
      </c>
      <c r="R19" s="5">
        <v>1500.0</v>
      </c>
      <c r="S19" s="8">
        <f t="shared" si="1"/>
        <v>105000</v>
      </c>
      <c r="T19" s="8">
        <v>106000.0</v>
      </c>
      <c r="U19" s="8">
        <f t="shared" si="2"/>
        <v>1000</v>
      </c>
      <c r="V19" s="7" t="s">
        <v>76</v>
      </c>
      <c r="W19" s="8">
        <v>30000.0</v>
      </c>
      <c r="X19" s="8">
        <v>81700.0</v>
      </c>
      <c r="Y19" s="5">
        <v>23.0</v>
      </c>
      <c r="Z19" s="5">
        <v>4451.0</v>
      </c>
      <c r="AA19" s="5">
        <v>232.0</v>
      </c>
      <c r="AB19" s="8">
        <v>17000.0</v>
      </c>
      <c r="AC19" s="5">
        <v>247.0</v>
      </c>
      <c r="AD19" s="8">
        <v>13000.0</v>
      </c>
      <c r="AE19" s="5">
        <v>0.0</v>
      </c>
      <c r="AF19" s="5">
        <v>0.0</v>
      </c>
      <c r="AG19" s="5">
        <v>0.0</v>
      </c>
      <c r="AH19" s="5">
        <v>0.0</v>
      </c>
      <c r="AI19" s="8">
        <f t="shared" si="3"/>
        <v>30000</v>
      </c>
      <c r="AJ19" s="8">
        <f t="shared" si="4"/>
        <v>0</v>
      </c>
      <c r="AK19" s="11"/>
      <c r="AL19" s="8">
        <v>81000.0</v>
      </c>
      <c r="AM19" s="8">
        <f t="shared" si="5"/>
        <v>5000</v>
      </c>
      <c r="AN19" s="8">
        <f t="shared" si="6"/>
        <v>6000</v>
      </c>
      <c r="AO19" s="10"/>
      <c r="AP19" s="11"/>
      <c r="AQ19" s="9">
        <v>29070.0</v>
      </c>
      <c r="AR19" s="11"/>
    </row>
  </sheetData>
  <drawing r:id="rId1"/>
</worksheet>
</file>